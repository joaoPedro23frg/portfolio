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atividades Dio\"/>
    </mc:Choice>
  </mc:AlternateContent>
  <bookViews>
    <workbookView xWindow="0" yWindow="0" windowWidth="20490" windowHeight="7005" tabRatio="56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E21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<sst xmlns="http://schemas.openxmlformats.org/spreadsheetml/2006/main" count="2018" uniqueCount="320">
  <si>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</si>
  <si>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</si>
  <si>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</si>
  <si>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</si>
  <si>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</si>
  <si>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</si>
  <si>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</si>
  <si>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</si>
  <si>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</si>
  <si>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</si>
  <si>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</si>
  <si>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</si>
  <si>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</si>
  <si>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</si>
  <si>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</si>
  <si>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</si>
  <si>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</si>
  <si>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</si>
  <si>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</si>
  <si>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</si>
  <si>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</si>
  <si>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</si>
  <si>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</si>
  <si>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</si>
  <si>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</si>
  <si>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</si>
  <si>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</si>
  <si>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</si>
  <si>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</si>
  <si>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</si>
  <si>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</si>
  <si>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</si>
  <si>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</si>
  <si>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</si>
  <si>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</si>
  <si>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</si>
  <si>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</si>
  <si>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</si>
  <si>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</si>
  <si>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</si>
  <si>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</si>
  <si>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</si>
  <si>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</si>
  <si>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</si>
  <si>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</si>
  <si>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</si>
  <si>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</si>
  <si>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</si>
  <si>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</si>
  <si>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</si>
  <si>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</si>
  <si>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</si>
  <si>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</si>
  <si>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</si>
  <si>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</si>
  <si>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</si>
  <si>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</si>
  <si>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</si>
  <si>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</si>
  <si>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</si>
  <si>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</si>
  <si>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</si>
  <si>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</si>
  <si>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</si>
  <si>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</si>
  <si>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</si>
  <si>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</si>
  <si>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</si>
  <si>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</si>
  <si>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</si>
  <si>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</si>
  <si>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</si>
  <si>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</si>
  <si>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</si>
  <si>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</si>
  <si>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</si>
  <si>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</si>
  <si>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</si>
  <si>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</si>
  <si>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</si>
  <si>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</si>
  <si>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</si>
  <si>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</si>
  <si>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</si>
  <si>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</si>
  <si>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</si>
  <si>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</si>
  <si>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</si>
  <si>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</si>
  <si>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</si>
  <si>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</si>
  <si>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</si>
  <si>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</si>
  <si>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</si>
  <si>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</si>
  <si>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</si>
  <si>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</si>
  <si>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</si>
  <si>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</si>
  <si>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</si>
  <si>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</si>
  <si>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</si>
  <si>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</si>
  <si>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</si>
  <si>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</si>
  <si>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</si>
  <si>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</si>
  <si>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</si>
  <si>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</si>
  <si>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</si>
  <si>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</si>
  <si>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</si>
  <si>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</si>
  <si>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</si>
  <si>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</si>
  <si>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</si>
  <si>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</si>
  <si>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</si>
  <si>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</si>
  <si>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</si>
  <si>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</si>
  <si>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</si>
  <si>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</si>
  <si>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</si>
  <si>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</si>
  <si>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</si>
  <si>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</si>
  <si>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</si>
  <si>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</si>
  <si>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</si>
  <si>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</si>
  <si>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</si>
  <si>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</si>
  <si>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</si>
  <si>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</si>
  <si>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</si>
  <si>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</si>
  <si>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</si>
  <si>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</si>
  <si>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</si>
  <si>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</si>
  <si>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</si>
  <si>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</si>
  <si>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</si>
  <si>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</si>
  <si>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</si>
  <si>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</si>
  <si>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</si>
  <si>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</si>
  <si>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</si>
  <si>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</si>
  <si>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</si>
  <si>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</si>
  <si>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</si>
  <si>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</si>
  <si>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</si>
  <si>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</si>
  <si>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</si>
  <si>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</si>
  <si>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</si>
  <si>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</si>
  <si>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</si>
  <si>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</si>
  <si>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</si>
  <si>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</si>
  <si>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</si>
  <si>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</si>
  <si>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</si>
  <si>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</si>
  <si>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</si>
  <si>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</si>
  <si>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</si>
  <si>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</si>
  <si>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</si>
  <si>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</si>
  <si>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</si>
  <si>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</si>
  <si>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</si>
  <si>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</si>
  <si>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</si>
  <si>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</si>
  <si>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</si>
  <si>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</si>
  <si>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</si>
  <si>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</si>
  <si>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</si>
  <si>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</si>
  <si>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</si>
  <si>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</si>
  <si>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</si>
  <si>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</si>
  <si>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</si>
  <si>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</si>
  <si>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</si>
  <si>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</si>
  <si>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</si>
  <si>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</si>
  <si>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</si>
  <si>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</si>
  <si>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</si>
  <si>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</si>
  <si>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</si>
  <si>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</si>
  <si>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</si>
  <si>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</si>
  <si>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</si>
  <si>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</si>
  <si>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</si>
  <si>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</si>
  <si>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</si>
  <si>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</si>
  <si>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</si>
  <si>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</si>
  <si>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</si>
  <si>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</si>
  <si>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</si>
  <si>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</si>
  <si>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</si>
  <si>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</si>
  <si>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</si>
  <si>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</si>
  <si>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</si>
  <si>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</si>
  <si>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</si>
  <si>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</si>
  <si>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</si>
  <si>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</si>
  <si>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</si>
  <si>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</si>
  <si>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</si>
  <si>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</si>
  <si>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</si>
  <si>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</si>
  <si>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</si>
  <si>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</si>
  <si>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</si>
  <si>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</si>
  <si>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</si>
  <si>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</si>
  <si>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</si>
  <si>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</si>
  <si>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</si>
  <si>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</si>
  <si>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</si>
  <si>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</si>
  <si>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</si>
  <si>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</si>
  <si>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</si>
  <si>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</si>
  <si>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</si>
  <si>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</si>
  <si>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</si>
  <si>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</si>
  <si>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</si>
  <si>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</si>
  <si>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</si>
  <si>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</si>
  <si>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</si>
  <si>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</si>
  <si>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</si>
  <si>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</si>
  <si>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</si>
  <si>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</si>
  <si>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</si>
  <si>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</si>
  <si>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</si>
  <si>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</si>
  <si>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</si>
  <si>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</si>
  <si>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</si>
  <si>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</si>
  <si>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</si>
  <si>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</si>
  <si>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</si>
  <si>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</si>
  <si>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</si>
  <si>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</si>
  <si>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</si>
  <si>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</si>
  <si>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</si>
  <si>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</si>
  <si>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</si>
  <si>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</si>
  <si>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</si>
  <si>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</si>
  <si>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</si>
  <si>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</si>
  <si>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</si>
  <si>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</si>
  <si>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</si>
  <si>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</si>
  <si>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</si>
  <si>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</si>
  <si>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</si>
  <si>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</si>
  <si>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</si>
  <si>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</si>
  <si>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</si>
  <si>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</si>
  <si>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</si>
  <si>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</si>
  <si>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</si>
  <si>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</si>
  <si>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</si>
  <si>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</si>
  <si>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</si>
  <si>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</si>
  <si>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</si>
  <si>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</si>
  <si>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</si>
  <si>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</si>
  <si>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</si>
  <si>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</si>
  <si>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</si>
  <si>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</si>
  <si>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</si>
  <si>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</si>
  <si>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</si>
  <si>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 xml:space="preserve">
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</si>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</sst>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4" fillId="0" borderId="2" xfId="1" applyFont="1" applyBorder="1"/>
    <xf numFmtId="0" fontId="0" fillId="0" borderId="0" xfId="0" applyAlignment="1">
      <alignment wrapText="1"/>
    </xf>
    <xf numFmtId="0" fontId="0" fillId="0" borderId="2" xfId="0" applyBorder="1"/>
    <xf numFmtId="0" fontId="5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>
      <tableStyleElement type="wholeTable" dxfId="17"/>
      <tableStyleElement type="headerRow" dxfId="16"/>
    </tableStyle>
    <tableStyle name="SlicerStyleLight6 2 2" pivot="0" table="0" count="10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F7F8FC"/>
      <color rgb="FFE8E6E9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xbox.xlsx]C̳álculos!tbl_annual_total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5BF6A8"/>
          </a:solidFill>
          <a:ln>
            <a:noFill/>
          </a:ln>
          <a:effectLst/>
        </c:spPr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5BF6A8"/>
          </a:solidFill>
          <a:ln>
            <a:noFill/>
          </a:ln>
          <a:effectLst/>
        </c:spPr>
      </c:pivotFmt>
      <c:pivotFmt>
        <c:idx val="10"/>
        <c:spPr>
          <a:solidFill>
            <a:srgbClr val="5BF6A8"/>
          </a:solidFill>
          <a:ln>
            <a:noFill/>
          </a:ln>
          <a:effectLst/>
        </c:spPr>
      </c:pivotFmt>
      <c:pivotFmt>
        <c:idx val="1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EC1-40A6-A30E-88E58266F37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EC1-40A6-A30E-88E58266F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C1-40A6-A30E-88E58266F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9856992"/>
        <c:axId val="1919857824"/>
      </c:barChart>
      <c:catAx>
        <c:axId val="191985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9857824"/>
        <c:crosses val="autoZero"/>
        <c:auto val="1"/>
        <c:lblAlgn val="ctr"/>
        <c:lblOffset val="100"/>
        <c:noMultiLvlLbl val="0"/>
      </c:catAx>
      <c:valAx>
        <c:axId val="191985782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1985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23812</xdr:colOff>
      <xdr:row>1</xdr:row>
      <xdr:rowOff>23812</xdr:rowOff>
    </xdr:from>
    <xdr:to>
      <xdr:col>3</xdr:col>
      <xdr:colOff>117939</xdr:colOff>
      <xdr:row>2</xdr:row>
      <xdr:rowOff>61131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7" t="14660" r="73341" b="20592"/>
        <a:stretch/>
      </xdr:blipFill>
      <xdr:spPr>
        <a:xfrm>
          <a:off x="1988343" y="202406"/>
          <a:ext cx="784690" cy="620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1666875</xdr:colOff>
      <xdr:row>19</xdr:row>
      <xdr:rowOff>23812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78781"/>
              <a:ext cx="166687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59532</xdr:colOff>
      <xdr:row>6</xdr:row>
      <xdr:rowOff>35720</xdr:rowOff>
    </xdr:from>
    <xdr:to>
      <xdr:col>9</xdr:col>
      <xdr:colOff>250031</xdr:colOff>
      <xdr:row>12</xdr:row>
      <xdr:rowOff>104775</xdr:rowOff>
    </xdr:to>
    <xdr:grpSp>
      <xdr:nvGrpSpPr>
        <xdr:cNvPr id="14" name="Agrupar 13"/>
        <xdr:cNvGrpSpPr/>
      </xdr:nvGrpSpPr>
      <xdr:grpSpPr>
        <a:xfrm>
          <a:off x="2024063" y="1714501"/>
          <a:ext cx="5024437" cy="1319212"/>
          <a:chOff x="1940719" y="1821657"/>
          <a:chExt cx="5024437" cy="1319212"/>
        </a:xfrm>
      </xdr:grpSpPr>
      <xdr:sp macro="" textlink="">
        <xdr:nvSpPr>
          <xdr:cNvPr id="9" name="Retângulo Arredondado 8"/>
          <xdr:cNvSpPr/>
        </xdr:nvSpPr>
        <xdr:spPr>
          <a:xfrm>
            <a:off x="1976437" y="1857375"/>
            <a:ext cx="4988719" cy="121443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AE6B1"/>
              </a:solidFill>
            </a:endParaRPr>
          </a:p>
        </xdr:txBody>
      </xdr:sp>
      <xdr:sp macro="" textlink="C̳álculos!E21">
        <xdr:nvSpPr>
          <xdr:cNvPr id="10" name="Retângulo Arredondado 9"/>
          <xdr:cNvSpPr/>
        </xdr:nvSpPr>
        <xdr:spPr>
          <a:xfrm>
            <a:off x="3869531" y="2130027"/>
            <a:ext cx="2786063" cy="86915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6C213C1-2D9F-479C-9BD9-25C563F5562C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en-US" sz="36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21718" y="1988344"/>
            <a:ext cx="1371600" cy="1152525"/>
          </a:xfrm>
          <a:prstGeom prst="rect">
            <a:avLst/>
          </a:prstGeom>
        </xdr:spPr>
      </xdr:pic>
      <xdr:sp macro="" textlink="">
        <xdr:nvSpPr>
          <xdr:cNvPr id="13" name="Arredondar Retângulo no Mesmo Canto Lateral 12"/>
          <xdr:cNvSpPr/>
        </xdr:nvSpPr>
        <xdr:spPr>
          <a:xfrm>
            <a:off x="1940719" y="1821657"/>
            <a:ext cx="5024437" cy="35718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VENDAS EA PLAY SEASON PASS</a:t>
            </a:r>
            <a:endParaRPr lang="pt-BR" sz="1100" b="1"/>
          </a:p>
        </xdr:txBody>
      </xdr:sp>
    </xdr:grpSp>
    <xdr:clientData/>
  </xdr:twoCellAnchor>
  <xdr:twoCellAnchor editAs="absolute">
    <xdr:from>
      <xdr:col>10</xdr:col>
      <xdr:colOff>83344</xdr:colOff>
      <xdr:row>6</xdr:row>
      <xdr:rowOff>35720</xdr:rowOff>
    </xdr:from>
    <xdr:to>
      <xdr:col>17</xdr:col>
      <xdr:colOff>464343</xdr:colOff>
      <xdr:row>12</xdr:row>
      <xdr:rowOff>35718</xdr:rowOff>
    </xdr:to>
    <xdr:grpSp>
      <xdr:nvGrpSpPr>
        <xdr:cNvPr id="23" name="Agrupar 22"/>
        <xdr:cNvGrpSpPr/>
      </xdr:nvGrpSpPr>
      <xdr:grpSpPr>
        <a:xfrm>
          <a:off x="7572375" y="1714501"/>
          <a:ext cx="5024437" cy="1250155"/>
          <a:chOff x="7572375" y="1738313"/>
          <a:chExt cx="5024437" cy="1250155"/>
        </a:xfrm>
      </xdr:grpSpPr>
      <xdr:grpSp>
        <xdr:nvGrpSpPr>
          <xdr:cNvPr id="15" name="Agrupar 14"/>
          <xdr:cNvGrpSpPr/>
        </xdr:nvGrpSpPr>
        <xdr:grpSpPr>
          <a:xfrm>
            <a:off x="7572375" y="1738313"/>
            <a:ext cx="5024437" cy="1250155"/>
            <a:chOff x="1940719" y="1821657"/>
            <a:chExt cx="5024437" cy="1250155"/>
          </a:xfrm>
        </xdr:grpSpPr>
        <xdr:sp macro="" textlink="">
          <xdr:nvSpPr>
            <xdr:cNvPr id="16" name="Retângulo Arredondado 15"/>
            <xdr:cNvSpPr/>
          </xdr:nvSpPr>
          <xdr:spPr>
            <a:xfrm>
              <a:off x="1976437" y="1857375"/>
              <a:ext cx="4988719" cy="1214437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E30">
          <xdr:nvSpPr>
            <xdr:cNvPr id="17" name="Retângulo Arredondado 16"/>
            <xdr:cNvSpPr/>
          </xdr:nvSpPr>
          <xdr:spPr>
            <a:xfrm>
              <a:off x="3869531" y="2130027"/>
              <a:ext cx="2786063" cy="869158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4EBB9B3-93D3-488A-9D97-BD199D84B869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R$ 940,00</a:t>
              </a:fld>
              <a:endParaRPr lang="en-US" sz="36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9" name="Arredondar Retângulo no Mesmo Canto Lateral 18"/>
            <xdr:cNvSpPr/>
          </xdr:nvSpPr>
          <xdr:spPr>
            <a:xfrm>
              <a:off x="1940719" y="1821657"/>
              <a:ext cx="5024437" cy="357188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VENDAS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750969" y="2131218"/>
            <a:ext cx="1643062" cy="589359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59534</xdr:colOff>
      <xdr:row>14</xdr:row>
      <xdr:rowOff>71437</xdr:rowOff>
    </xdr:from>
    <xdr:to>
      <xdr:col>17</xdr:col>
      <xdr:colOff>535781</xdr:colOff>
      <xdr:row>34</xdr:row>
      <xdr:rowOff>23812</xdr:rowOff>
    </xdr:to>
    <xdr:grpSp>
      <xdr:nvGrpSpPr>
        <xdr:cNvPr id="25" name="Agrupar 24"/>
        <xdr:cNvGrpSpPr/>
      </xdr:nvGrpSpPr>
      <xdr:grpSpPr>
        <a:xfrm>
          <a:off x="2024065" y="3357562"/>
          <a:ext cx="10644185" cy="3524250"/>
          <a:chOff x="2024065" y="3357562"/>
          <a:chExt cx="10644185" cy="3524250"/>
        </a:xfrm>
      </xdr:grpSpPr>
      <xdr:grpSp>
        <xdr:nvGrpSpPr>
          <xdr:cNvPr id="6" name="Agrupar 5"/>
          <xdr:cNvGrpSpPr/>
        </xdr:nvGrpSpPr>
        <xdr:grpSpPr>
          <a:xfrm>
            <a:off x="2024065" y="3357562"/>
            <a:ext cx="10632279" cy="3524250"/>
            <a:chOff x="1928813" y="1428750"/>
            <a:chExt cx="5024438" cy="3226594"/>
          </a:xfrm>
        </xdr:grpSpPr>
        <xdr:sp macro="" textlink="">
          <xdr:nvSpPr>
            <xdr:cNvPr id="5" name="Retângulo Arredondado 4"/>
            <xdr:cNvSpPr/>
          </xdr:nvSpPr>
          <xdr:spPr>
            <a:xfrm>
              <a:off x="1928813" y="1428750"/>
              <a:ext cx="5024438" cy="3226594"/>
            </a:xfrm>
            <a:prstGeom prst="roundRect">
              <a:avLst>
                <a:gd name="adj" fmla="val 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059780" y="1524001"/>
            <a:ext cx="4870965" cy="305990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4" name="Arredondar Retângulo no Mesmo Canto Lateral 23"/>
          <xdr:cNvSpPr/>
        </xdr:nvSpPr>
        <xdr:spPr>
          <a:xfrm>
            <a:off x="2024065" y="3357562"/>
            <a:ext cx="10644185" cy="35718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VENDAS EA XBOX GAME PASS</a:t>
            </a:r>
            <a:endParaRPr lang="pt-BR" sz="1100" b="1"/>
          </a:p>
        </xdr:txBody>
      </xdr:sp>
    </xdr:grpSp>
    <xdr:clientData/>
  </xdr:twoCellAnchor>
  <xdr:twoCellAnchor editAs="absolute">
    <xdr:from>
      <xdr:col>0</xdr:col>
      <xdr:colOff>71437</xdr:colOff>
      <xdr:row>1</xdr:row>
      <xdr:rowOff>23813</xdr:rowOff>
    </xdr:from>
    <xdr:to>
      <xdr:col>0</xdr:col>
      <xdr:colOff>1488281</xdr:colOff>
      <xdr:row>2</xdr:row>
      <xdr:rowOff>35719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71437" y="202407"/>
          <a:ext cx="1416844" cy="595312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202406</xdr:colOff>
      <xdr:row>2</xdr:row>
      <xdr:rowOff>178594</xdr:rowOff>
    </xdr:from>
    <xdr:to>
      <xdr:col>0</xdr:col>
      <xdr:colOff>1440656</xdr:colOff>
      <xdr:row>2</xdr:row>
      <xdr:rowOff>452437</xdr:rowOff>
    </xdr:to>
    <xdr:sp macro="" textlink="">
      <xdr:nvSpPr>
        <xdr:cNvPr id="27" name="Retângulo Arredondado 26"/>
        <xdr:cNvSpPr/>
      </xdr:nvSpPr>
      <xdr:spPr>
        <a:xfrm>
          <a:off x="202406" y="940594"/>
          <a:ext cx="1238250" cy="27384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 u="sng">
              <a:latin typeface="Segoe UI" panose="020B0502040204020203" pitchFamily="34" charset="0"/>
              <a:cs typeface="Segoe UI" panose="020B0502040204020203" pitchFamily="34" charset="0"/>
            </a:rPr>
            <a:t>&gt; WELCOME!</a:t>
          </a:r>
        </a:p>
      </xdr:txBody>
    </xdr:sp>
    <xdr:clientData/>
  </xdr:twoCellAnchor>
  <xdr:twoCellAnchor editAs="absolute">
    <xdr:from>
      <xdr:col>0</xdr:col>
      <xdr:colOff>1643062</xdr:colOff>
      <xdr:row>3</xdr:row>
      <xdr:rowOff>0</xdr:rowOff>
    </xdr:from>
    <xdr:to>
      <xdr:col>9</xdr:col>
      <xdr:colOff>238125</xdr:colOff>
      <xdr:row>4</xdr:row>
      <xdr:rowOff>47625</xdr:rowOff>
    </xdr:to>
    <xdr:sp macro="" textlink="">
      <xdr:nvSpPr>
        <xdr:cNvPr id="30" name="Retângulo Arredondado 29"/>
        <xdr:cNvSpPr/>
      </xdr:nvSpPr>
      <xdr:spPr>
        <a:xfrm>
          <a:off x="1643062" y="1345406"/>
          <a:ext cx="5393532" cy="15478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 u="sng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PERIODO DE APURAÇÃO :01/012024 - 31/12/2024 |</a:t>
          </a:r>
          <a:r>
            <a:rPr lang="pt-BR" sz="1100" b="1" i="1" u="sng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UPTADE DATE: 12/2024</a:t>
          </a:r>
          <a:endParaRPr lang="pt-BR" sz="1100" b="1" i="1" u="sng">
            <a:solidFill>
              <a:schemeClr val="bg1">
                <a:lumMod val="6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78.556972106482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25:C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2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play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16:C2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6" baseItem="0" numFmtId="164"/>
  </dataFields>
  <chartFormats count="1"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play_total"/>
    <pivotTable tabId="3" name="Tabela dinâmica3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 2" rowHeight="241300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K22" sqref="K22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2" zoomScale="90" zoomScaleNormal="90" workbookViewId="0">
      <selection activeCell="K22" sqref="K2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6:E30"/>
  <sheetViews>
    <sheetView showGridLines="0" topLeftCell="A19" workbookViewId="0">
      <selection activeCell="K22" sqref="K22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10.7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6" spans="2:3">
      <c r="B6" s="12" t="s">
        <v>16</v>
      </c>
      <c r="C6" t="s">
        <v>24</v>
      </c>
    </row>
    <row r="8" spans="2:3">
      <c r="B8" s="12" t="s">
        <v>313</v>
      </c>
      <c r="C8" t="s">
        <v>315</v>
      </c>
    </row>
    <row r="9" spans="2:3">
      <c r="B9" s="13" t="s">
        <v>23</v>
      </c>
      <c r="C9" s="15">
        <v>217</v>
      </c>
    </row>
    <row r="10" spans="2:3">
      <c r="B10" s="13" t="s">
        <v>19</v>
      </c>
      <c r="C10" s="15">
        <v>1537</v>
      </c>
    </row>
    <row r="11" spans="2:3">
      <c r="B11" s="13" t="s">
        <v>314</v>
      </c>
      <c r="C11" s="15">
        <v>1754</v>
      </c>
    </row>
    <row r="14" spans="2:3">
      <c r="B14" s="12" t="s">
        <v>16</v>
      </c>
      <c r="C14" t="s">
        <v>24</v>
      </c>
    </row>
    <row r="16" spans="2:3">
      <c r="B16" s="12" t="s">
        <v>313</v>
      </c>
      <c r="C16" t="s">
        <v>317</v>
      </c>
    </row>
    <row r="17" spans="2:5">
      <c r="B17" s="13" t="s">
        <v>22</v>
      </c>
      <c r="C17" s="14">
        <v>0</v>
      </c>
    </row>
    <row r="18" spans="2:5">
      <c r="B18" s="13" t="s">
        <v>26</v>
      </c>
      <c r="C18" s="14">
        <v>0</v>
      </c>
    </row>
    <row r="19" spans="2:5">
      <c r="B19" s="13" t="s">
        <v>18</v>
      </c>
      <c r="C19" s="14">
        <v>600</v>
      </c>
    </row>
    <row r="20" spans="2:5">
      <c r="B20" s="13" t="s">
        <v>314</v>
      </c>
      <c r="C20" s="14">
        <v>600</v>
      </c>
    </row>
    <row r="21" spans="2:5">
      <c r="E21" s="15">
        <f>GETPIVOTDATA("EA Play Season Pass
Price",$B$16)</f>
        <v>600</v>
      </c>
    </row>
    <row r="22" spans="2:5" ht="28.5">
      <c r="E22" s="17" t="s">
        <v>318</v>
      </c>
    </row>
    <row r="23" spans="2:5">
      <c r="B23" s="12" t="s">
        <v>16</v>
      </c>
      <c r="C23" t="s">
        <v>24</v>
      </c>
    </row>
    <row r="25" spans="2:5">
      <c r="B25" s="12" t="s">
        <v>313</v>
      </c>
      <c r="C25" t="s">
        <v>319</v>
      </c>
    </row>
    <row r="26" spans="2:5">
      <c r="B26" s="13" t="s">
        <v>22</v>
      </c>
      <c r="C26" s="15">
        <v>0</v>
      </c>
    </row>
    <row r="27" spans="2:5">
      <c r="B27" s="13" t="s">
        <v>26</v>
      </c>
      <c r="C27" s="15">
        <v>540</v>
      </c>
    </row>
    <row r="28" spans="2:5">
      <c r="B28" s="13" t="s">
        <v>18</v>
      </c>
      <c r="C28" s="15">
        <v>400</v>
      </c>
    </row>
    <row r="29" spans="2:5">
      <c r="B29" s="13" t="s">
        <v>314</v>
      </c>
      <c r="C29" s="15">
        <v>940</v>
      </c>
    </row>
    <row r="30" spans="2:5">
      <c r="E30" s="15">
        <f>GETPIVOTDATA("Minecraft Season Pass Price",$B$25)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636"/>
  <sheetViews>
    <sheetView showGridLines="0" showRowColHeaders="0" tabSelected="1" zoomScale="80" zoomScaleNormal="80" workbookViewId="0">
      <selection activeCell="S14" sqref="S14"/>
    </sheetView>
  </sheetViews>
  <sheetFormatPr defaultRowHeight="14.25"/>
  <cols>
    <col min="1" max="1" width="22.25" style="4" customWidth="1"/>
    <col min="2" max="2" width="3.625" customWidth="1"/>
    <col min="12" max="12" width="6.625" customWidth="1"/>
  </cols>
  <sheetData>
    <row r="2" spans="2:32" ht="45.75" customHeight="1" thickBot="1">
      <c r="C2" s="19" t="s">
        <v>316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</row>
    <row r="3" spans="2:32" ht="45.75" customHeight="1" thickTop="1"/>
    <row r="4" spans="2:32" ht="8.2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2:32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2:32" ht="10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2:32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2:32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2:32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2:32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2:32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2:3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2:32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2:32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2:32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2:32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2:32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2:32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2:32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2:3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2:3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2:3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2:3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2:3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2:3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2:3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2:3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2:3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2:3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2:3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2:3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2:32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2:32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2:32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2:32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2:32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2:32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2:32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2:32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2:32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2:32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2:3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2:32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2:32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2:32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2:32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2:32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2:32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2:32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2:3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2:32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2:3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2:32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2:32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2:32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2:32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2:32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2:32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2:32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2:32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2:32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2:32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2:32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2:32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2:32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2:32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2:32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2:32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2:32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2:32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2:32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2:32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2:32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2:32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2:32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2:32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2:32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2:32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2:32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2:32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2:32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2:32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2:32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2:32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2:32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2:32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2:32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2:32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2:32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2:32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2:32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2:32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2:32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2:32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2:32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2:32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2:32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2:32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2:32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2:32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2:32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2:32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2:32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2:32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2:32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2:32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2:32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2:32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2:32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2:32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2:32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2:32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2:32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2:32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2:32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2:32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2:32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2:32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2:32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2:32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2:32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2:32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2:32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2:32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2:32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2:32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2:32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2:32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2:32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2:32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2:32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2:32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2:32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2:32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2:32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2:32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2:32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2:32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2:32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2:32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2:32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2:32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2:32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2:32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2:32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2:3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2:32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2:32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2:32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2:32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2:32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2:32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2:32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2:32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2:32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2:32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2:32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2:32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2:32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2:32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2:32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2:32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2:32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2:32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2:32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2:32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2:32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2:32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2:32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2:32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2:32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2:32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2:32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2:32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2:32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2:32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2:32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2:32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2:32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2:32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2:32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2:32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2:32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2:32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2:32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2:32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2:32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2:32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2:32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2:32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2:32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2:32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2:32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2:32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2:32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2:32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2:32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2:32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2:32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2:32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2:32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2:32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2:32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2:32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2:32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2:32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2:32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2:32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2:32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2:3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2:3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2:32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2:32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2:32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2:32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2:32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2:32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2:32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2:32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2:32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2:32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2:32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2:32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2:32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2:32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2:32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2:32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2:32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2:32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2:32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2:32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2:32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2:32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2:32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2:3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2:3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2:32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2:32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2:32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2:32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2:32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2:32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2:32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2:32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2:32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2:32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2:32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2:32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2:32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2:32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2:32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2:32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2:32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2:32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2:32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2:32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2:32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2:32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2:32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2:32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2:32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2:32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2:32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2:32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2:32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2:32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2:32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2:32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2:32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2:32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2:32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2:32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2:32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2:32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2:32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2:32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2:32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2:32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2:32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2:32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2:32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2:32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2:32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2:32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2:32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2:32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2:32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2:32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2:32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2:32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2:32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2:32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2:32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2:32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2:32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2:32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2:32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2:32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2:32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2:32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2:32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2:3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2:32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2:32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2:32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2:32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2:32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2:32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2:32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2:32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2:32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2:32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2:32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2:32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2:32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2:32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2:32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2:32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2:32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2:32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2:32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2:32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2:32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2:32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2:32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2:32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2:32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2:32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2:32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2:32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2:32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2:32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2:32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2:32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2:32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2:32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2:32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2:32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2:32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2:32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2:32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2:32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2:32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2:32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2:32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2:32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2:32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2:32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2:32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2:32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2:32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2:32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2:32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2:32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2:32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2:32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2:32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2:32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2:32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2:32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2:32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2:32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2:32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2:32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2:32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2:32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2:32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2:32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2:32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2:32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2:32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2:32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2:32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2:32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2:32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2:32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2:32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2:32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2:32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2:32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2:32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2:32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2:32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2:32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2:32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2:32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2:32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2:32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2:32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2:32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2:32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2:32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2:32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2:32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2:32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2:32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2:32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2:32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2:32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2:32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2:32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2:32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2:32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2:32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2:32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2:32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2:32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2:32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2:32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2:32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2:32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2:32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2:32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2:32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2:32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2:32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2:32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2:32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2:32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2:32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2:32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2:32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2:32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2:32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2:32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2:32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2:32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2:32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2:32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2:32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2:32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2:32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2:32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2:32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2:32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2:32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2:32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2:32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2:32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2:32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2:32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2:32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2:32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2:32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2:32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2:32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2:32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2:32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2:32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2:32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2:32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2:32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2:32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2:32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2:32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2:32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2:32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2:32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2:32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2:32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2:32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2:32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2:32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2:32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2:32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2:32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2:32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2:32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2:32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2:32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2:32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2:32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2:32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2:32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2:32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2:32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2:32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2:32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2:32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2:32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2:32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2:32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2:32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2:32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2:32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2:32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2:32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2:32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2:32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2:32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2:32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2:32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2:32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2:32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2:32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2:32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2:32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2:32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2:32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2:32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2:32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2:32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2:32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2:32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2:32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2:32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2:32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2:32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2:32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2:32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2:32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2:32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2:32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2:32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2:32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2:32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2:32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2:32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2:32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2:32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2:32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2:32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2:32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2:32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2:32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2:32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2:32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2:32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2:32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2:32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2:32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2:32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2:32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2:32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2:32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2:32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2:32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2:32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2:32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2:32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2:32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2:32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2:32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2:32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2:32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2:32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2:32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2:32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2:32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2:32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2:32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2:32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2:32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2:32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2:32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2:32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2:32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2:32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2:32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2:32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2:32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2:32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2:32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2:32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2:32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2:32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2:32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2:32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2:32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2:32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2:32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2:32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2:32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2:32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2:32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2:32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2:32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2:32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2:32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2:32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2:32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2:32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2:32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2:32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2:32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2:32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2:32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2:32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2:32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2:32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2:32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2:32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2:32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2:32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2:32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2:32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2:32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2:32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2:32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2:32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2:32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2:32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2:32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2:32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2:32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2:32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2:32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2:32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2:32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2:32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2:32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2:32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2:32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2:32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2:32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2:32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2:32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2:32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2:32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2:32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2:32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2:32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2:32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2:32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2:32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2:32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2:32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2:32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2:32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2:32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2:32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2:32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2:32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2:32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2:32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2:32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851b35d3-0456-4d6a-bc2f-da927e91d158"/>
    <ds:schemaRef ds:uri="http://schemas.microsoft.com/office/infopath/2007/PartnerControls"/>
    <ds:schemaRef ds:uri="http://schemas.openxmlformats.org/package/2006/metadata/core-properties"/>
    <ds:schemaRef ds:uri="19483571-f922-4e8e-9c1c-26f0a225213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2026-09-13T19:43:11Z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